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C:\Users\sjpl\Documents\GitHub\CRISPR-Library-Design\output\"/>
    </mc:Choice>
  </mc:AlternateContent>
  <xr:revisionPtr revIDLastSave="0" documentId="13_ncr:1_{4EF78FA5-847D-4DC8-B0E5-3E4050E50670}" xr6:coauthVersionLast="47" xr6:coauthVersionMax="47" xr10:uidLastSave="{00000000-0000-0000-0000-000000000000}"/>
  <bookViews>
    <workbookView xWindow="19090" yWindow="-10850" windowWidth="38620" windowHeight="21100" xr2:uid="{00000000-000D-0000-FFFF-FFFF00000000}"/>
    <workbookView xWindow="19090" yWindow="-10850" windowWidth="38620" windowHeight="21100" xr2:uid="{2633FF3E-BE28-4DDF-9783-64AD6AA4D79B}"/>
  </bookViews>
  <sheets>
    <sheet name="Final" sheetId="2" r:id="rId1"/>
    <sheet name="Full CRISPick" sheetId="3" r:id="rId2"/>
    <sheet name="RPA1-SMYD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" l="1"/>
</calcChain>
</file>

<file path=xl/sharedStrings.xml><?xml version="1.0" encoding="utf-8"?>
<sst xmlns="http://schemas.openxmlformats.org/spreadsheetml/2006/main" count="602" uniqueCount="139">
  <si>
    <t>Input</t>
  </si>
  <si>
    <t>Quota</t>
  </si>
  <si>
    <t>Target.Taxon</t>
  </si>
  <si>
    <t>Target.Gene.ID</t>
  </si>
  <si>
    <t>SNP</t>
  </si>
  <si>
    <t>Target.Alias</t>
  </si>
  <si>
    <t>CRISPR.Mechanism</t>
  </si>
  <si>
    <t>Target.Domain</t>
  </si>
  <si>
    <t>Reference.Sequence</t>
  </si>
  <si>
    <t>Strand.of.Target</t>
  </si>
  <si>
    <t>TSS.Position</t>
  </si>
  <si>
    <t>PAM.Policy</t>
  </si>
  <si>
    <t>Off-Target.Match.Ruleset.Version</t>
  </si>
  <si>
    <t>Off-Target.Tier.Policy</t>
  </si>
  <si>
    <t>Off-Target.Match.Bin.Policy</t>
  </si>
  <si>
    <t>Strand.of.sgRNA</t>
  </si>
  <si>
    <t>Orientation</t>
  </si>
  <si>
    <t>sgRNA.'Cut'.Position</t>
  </si>
  <si>
    <t>sgRNA.Sequence</t>
  </si>
  <si>
    <t>sgRNA.Context.Sequence</t>
  </si>
  <si>
    <t>PAM.Sequence</t>
  </si>
  <si>
    <t>sgRNA.'Cut'.Site.TSS.Offset</t>
  </si>
  <si>
    <t>Other.Target.Matches</t>
  </si>
  <si>
    <t>#.Off-Target.Tier.I.Match.Bin.I.Matches</t>
  </si>
  <si>
    <t>#.Off-Target.Tier.II.Match.Bin.I.Matches</t>
  </si>
  <si>
    <t>#.Off-Target.Tier.III.Match.Bin.I.Matches</t>
  </si>
  <si>
    <t>#.Off-Target.Tier.I.Match.Bin.II.Matches</t>
  </si>
  <si>
    <t>#.Off-Target.Tier.II.Match.Bin.II.Matches</t>
  </si>
  <si>
    <t>#.Off-Target.Tier.III.Match.Bin.II.Matches</t>
  </si>
  <si>
    <t>#.Off-Target.Tier.I.Match.Bin.III.Matches</t>
  </si>
  <si>
    <t>#.Off-Target.Tier.II.Match.Bin.III.Matches</t>
  </si>
  <si>
    <t>#.Off-Target.Tier.III.Match.Bin.III.Matches</t>
  </si>
  <si>
    <t>#.Off-Target.Tier.I.Match.Bin.IV.Matches</t>
  </si>
  <si>
    <t>#.Off-Target.Tier.II.Match.Bin.IV.Matches</t>
  </si>
  <si>
    <t>#.Off-Target.Tier.III.Match.Bin.IV.Matches</t>
  </si>
  <si>
    <t>On-Target.Ruleset</t>
  </si>
  <si>
    <t>On-Target.Efficacy.Score</t>
  </si>
  <si>
    <t>DHS.Score</t>
  </si>
  <si>
    <t>On-Target.Rank</t>
  </si>
  <si>
    <t>Off-Target.Rank</t>
  </si>
  <si>
    <t>On-Target.Rank.Weight</t>
  </si>
  <si>
    <t>Off-Target.Rank.Weight</t>
  </si>
  <si>
    <t>Combined.Rank</t>
  </si>
  <si>
    <t>Pick.Order</t>
  </si>
  <si>
    <t>Picking.Round</t>
  </si>
  <si>
    <t>Picking.Notes</t>
  </si>
  <si>
    <t>chr</t>
  </si>
  <si>
    <t>start</t>
  </si>
  <si>
    <t>end</t>
  </si>
  <si>
    <t>n</t>
  </si>
  <si>
    <t>ACP2</t>
  </si>
  <si>
    <t>CRISPRa</t>
  </si>
  <si>
    <t>[TSS-300,TSS+0]</t>
  </si>
  <si>
    <t>NC_000011.9</t>
  </si>
  <si>
    <t>-</t>
  </si>
  <si>
    <t>SpyoCas9</t>
  </si>
  <si>
    <t>5.20.100</t>
  </si>
  <si>
    <t>+</t>
  </si>
  <si>
    <t>antisense</t>
  </si>
  <si>
    <t>GGAAAAGGCGCAGTCTCGGT</t>
  </si>
  <si>
    <t>GCGGGGAAAAGGCGCAGTCTCGGTGGGATT</t>
  </si>
  <si>
    <t>GGG</t>
  </si>
  <si>
    <t>RS3seq-Chen2013</t>
  </si>
  <si>
    <t>Previously skipped due to: DHS Score &lt; 1.0</t>
  </si>
  <si>
    <t>11</t>
  </si>
  <si>
    <t>sense</t>
  </si>
  <si>
    <t>CAGCAGGTCCCTAAGTAAGA</t>
  </si>
  <si>
    <t>ACCCCAGCAGGTCCCTAAGTAAGATGGCGG</t>
  </si>
  <si>
    <t>TGG</t>
  </si>
  <si>
    <t>TCTTACTTAGGGACCTGCTG</t>
  </si>
  <si>
    <t>GCCATCTTACTTAGGGACCTGCTGGGGTGC</t>
  </si>
  <si>
    <t>BIN1</t>
  </si>
  <si>
    <t>NC_000002.11</t>
  </si>
  <si>
    <t>AGGCAGCTTATTGTCCGGAG</t>
  </si>
  <si>
    <t>TAAAAGGCAGCTTATTGTCCGGAGGGGGCG</t>
  </si>
  <si>
    <t>2</t>
  </si>
  <si>
    <t>AGCTAGCCAGCGAGCGACGC</t>
  </si>
  <si>
    <t>AGCGAGCTAGCCAGCGAGCGACGCGGGGAC</t>
  </si>
  <si>
    <t>Previously skipped due to: DHS Score &lt; 1.0; Outside Target Window: [TSS-150,TSS-75]</t>
  </si>
  <si>
    <t>CLU</t>
  </si>
  <si>
    <t>NC_000008.10</t>
  </si>
  <si>
    <t>AGAATGCCGCGGAAAGCAAG</t>
  </si>
  <si>
    <t>CCAAAGAATGCCGCGGAAAGCAAGGGGAGC</t>
  </si>
  <si>
    <t>8</t>
  </si>
  <si>
    <t>ATCACCACGAATAGCTGTGC</t>
  </si>
  <si>
    <t>CATCATCACCACGAATAGCTGTGCTGGCTC</t>
  </si>
  <si>
    <t>FERMT2</t>
  </si>
  <si>
    <t>NC_000014.8</t>
  </si>
  <si>
    <t>AGGCCGGCCGGACCCGCTCA</t>
  </si>
  <si>
    <t>GGCGAGGCCGGCCGGACCCGCTCAGGGCAG</t>
  </si>
  <si>
    <t>14</t>
  </si>
  <si>
    <t>GCTCTGCGGGCGGCGAAGGA</t>
  </si>
  <si>
    <t>GGCAGCTCTGCGGGCGGCGAAGGAGGGAGC</t>
  </si>
  <si>
    <t>CCAGCCAGGCTCGGACAGAG</t>
  </si>
  <si>
    <t>CAGCCCAGCCAGGCTCGGACAGAGGGGGCG</t>
  </si>
  <si>
    <t>SNX1</t>
  </si>
  <si>
    <t>NC_000015.9</t>
  </si>
  <si>
    <t>GGGACCCCGTGGGATCCGAG</t>
  </si>
  <si>
    <t>GCAAGGGACCCCGTGGGATCCGAGGGGCGG</t>
  </si>
  <si>
    <t>15</t>
  </si>
  <si>
    <t>GAGGAGTGGGAGGGCCGCAA</t>
  </si>
  <si>
    <t>GTGCGAGGAGTGGGAGGGCCGCAAGGGACC</t>
  </si>
  <si>
    <t>TSPAN14</t>
  </si>
  <si>
    <t>NC_000010.10</t>
  </si>
  <si>
    <t>GGAAGTTAGAGCAAGTTCCG</t>
  </si>
  <si>
    <t>CCGAGGAAGTTAGAGCAAGTTCCGCGGCGC</t>
  </si>
  <si>
    <t>CGG</t>
  </si>
  <si>
    <t>Previously skipped due to: DHS Score &lt; 1.0; Outside Target Window: [TSS-150,TSS-75]; Outside Target Window: [TSS-200,TSS-25]</t>
  </si>
  <si>
    <t>10</t>
  </si>
  <si>
    <t>GCGGCGCCTGCCGTCTGCCG</t>
  </si>
  <si>
    <t>AGGCGCGGCGCCTGCCGTCTGCCGAGGAAG</t>
  </si>
  <si>
    <t>AGG</t>
  </si>
  <si>
    <t>Previously skipped due to: DHS Score &lt; 1.0; On-Target Efficacy Score &lt; 0.2</t>
  </si>
  <si>
    <t>AAGATCTCCCCGCGCGAGAG</t>
  </si>
  <si>
    <t>GGAGCCAGCACAGCTATTCG</t>
  </si>
  <si>
    <t>ATTAACGAGTGGGGCCAAAG</t>
  </si>
  <si>
    <t>CTTCCCCGAGCGTTCTCCGG</t>
  </si>
  <si>
    <t>RPA1</t>
  </si>
  <si>
    <t>NC_000017.10</t>
  </si>
  <si>
    <t>TCCCAAGCGAGGCCTGGCGC</t>
  </si>
  <si>
    <t>ATGGTCCCAAGCGAGGCCTGGCGCGGGACG</t>
  </si>
  <si>
    <t>17</t>
  </si>
  <si>
    <t>CGGCCCACGTGACCCACCCA</t>
  </si>
  <si>
    <t>GGCGCGGCCCACGTGACCCACCCATGGTCC</t>
  </si>
  <si>
    <t>GGGCGCGCCAGGAGCTGCGC</t>
  </si>
  <si>
    <t>CAAGGGGCGCGCCAGGAGCTGCGCGGGCGC</t>
  </si>
  <si>
    <t>SMYD4</t>
  </si>
  <si>
    <t>GCAGCGCGCGGGACCCGGGT</t>
  </si>
  <si>
    <t>CTGCGCAGCGCGCGGGACCCGGGTGGGGAA</t>
  </si>
  <si>
    <t>CCACCGCCAAGACTTCCCCG</t>
  </si>
  <si>
    <t>GGCTCCACCGCCAAGACTTCCCCGCGGACC</t>
  </si>
  <si>
    <t>CTTGGCGGTGGAGCCATGGT</t>
  </si>
  <si>
    <t>AAGTCTTGGCGGTGGAGCCATGGTCGGCCA</t>
  </si>
  <si>
    <t>Overlaps RPA1 5' UTR</t>
  </si>
  <si>
    <t>&lt; picked</t>
  </si>
  <si>
    <t>&lt;picked</t>
  </si>
  <si>
    <t>RAP1-SMYD4</t>
  </si>
  <si>
    <t>GCGCTACGCAGCCGCCGCAT</t>
  </si>
  <si>
    <t>UCSC Genome Browser.. Start 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</si>
</sst>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3" fontId="2" fillId="0" borderId="0" xfId="0" applyNumberFormat="1" applyFont="1"/>
    <xf numFmtId="1" fontId="0" fillId="0" borderId="0" xfId="0" applyNumberFormat="1"/>
    <xf numFmtId="1" fontId="2" fillId="0" borderId="0" xfId="0" applyNumberFormat="1" applyFont="1"/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1" applyNumberFormat="1" applyFont="1" applyAlignment="1">
      <alignment horizontal="right"/>
    </xf>
    <xf numFmtId="164" fontId="2" fillId="0" borderId="0" xfId="1" applyNumberFormat="1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494DB-462B-4CE3-8670-B2302FC69373}">
  <dimension ref="A1:L22"/>
  <sheetViews>
    <sheetView tabSelected="1" workbookViewId="0">
      <selection activeCell="E27" sqref="E27"/>
    </sheetView>
    <sheetView tabSelected="1" workbookViewId="1">
      <selection activeCell="E36" sqref="E36"/>
    </sheetView>
  </sheetViews>
  <sheetFormatPr defaultRowHeight="14.4" x14ac:dyDescent="0.3"/>
  <cols>
    <col min="1" max="1" width="11.88671875" bestFit="1" customWidth="1"/>
    <col min="3" max="3" width="15" bestFit="1" customWidth="1"/>
    <col min="5" max="5" width="18.33203125" bestFit="1" customWidth="1"/>
    <col min="6" max="6" width="25.88671875" bestFit="1" customWidth="1"/>
    <col min="7" max="7" width="38.21875" bestFit="1" customWidth="1"/>
    <col min="10" max="10" width="9.109375" style="7" bestFit="1" customWidth="1"/>
    <col min="11" max="12" width="13.77734375" bestFit="1" customWidth="1"/>
  </cols>
  <sheetData>
    <row r="1" spans="1:12" s="1" customFormat="1" x14ac:dyDescent="0.3">
      <c r="A1" s="1" t="s">
        <v>0</v>
      </c>
      <c r="B1" s="1" t="s">
        <v>9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43</v>
      </c>
      <c r="J1" s="6" t="s">
        <v>46</v>
      </c>
      <c r="K1" s="1" t="s">
        <v>47</v>
      </c>
      <c r="L1" s="1" t="s">
        <v>48</v>
      </c>
    </row>
    <row r="2" spans="1:12" x14ac:dyDescent="0.3">
      <c r="A2" t="s">
        <v>50</v>
      </c>
      <c r="B2" t="s">
        <v>54</v>
      </c>
      <c r="C2" t="s">
        <v>57</v>
      </c>
      <c r="D2" t="s">
        <v>58</v>
      </c>
      <c r="E2">
        <v>47270495</v>
      </c>
      <c r="F2" t="s">
        <v>59</v>
      </c>
      <c r="G2" t="s">
        <v>60</v>
      </c>
      <c r="H2" t="s">
        <v>61</v>
      </c>
      <c r="I2">
        <v>1</v>
      </c>
      <c r="J2" s="8">
        <v>11</v>
      </c>
      <c r="K2" s="4">
        <v>47270492</v>
      </c>
      <c r="L2" s="4">
        <v>47270511</v>
      </c>
    </row>
    <row r="3" spans="1:12" x14ac:dyDescent="0.3">
      <c r="A3" t="s">
        <v>50</v>
      </c>
      <c r="B3" t="s">
        <v>54</v>
      </c>
      <c r="C3" t="s">
        <v>54</v>
      </c>
      <c r="D3" t="s">
        <v>65</v>
      </c>
      <c r="E3">
        <v>47270453</v>
      </c>
      <c r="F3" t="s">
        <v>66</v>
      </c>
      <c r="G3" t="s">
        <v>67</v>
      </c>
      <c r="H3" t="s">
        <v>68</v>
      </c>
      <c r="I3">
        <v>2</v>
      </c>
      <c r="J3" s="8">
        <v>11</v>
      </c>
      <c r="K3" s="4">
        <v>47270436</v>
      </c>
      <c r="L3" s="4">
        <v>47270455</v>
      </c>
    </row>
    <row r="4" spans="1:12" x14ac:dyDescent="0.3">
      <c r="A4" t="s">
        <v>50</v>
      </c>
      <c r="B4" t="s">
        <v>54</v>
      </c>
      <c r="C4" t="s">
        <v>57</v>
      </c>
      <c r="D4" t="s">
        <v>58</v>
      </c>
      <c r="E4">
        <v>47270467</v>
      </c>
      <c r="F4" t="s">
        <v>69</v>
      </c>
      <c r="G4" t="s">
        <v>70</v>
      </c>
      <c r="H4" t="s">
        <v>61</v>
      </c>
      <c r="I4">
        <v>5</v>
      </c>
      <c r="J4" s="8">
        <v>11</v>
      </c>
      <c r="K4" s="4">
        <v>47270464</v>
      </c>
      <c r="L4" s="4">
        <v>47270483</v>
      </c>
    </row>
    <row r="5" spans="1:12" x14ac:dyDescent="0.3">
      <c r="A5" t="s">
        <v>71</v>
      </c>
      <c r="B5" t="s">
        <v>54</v>
      </c>
      <c r="C5" t="s">
        <v>54</v>
      </c>
      <c r="D5" t="s">
        <v>65</v>
      </c>
      <c r="F5" s="2" t="s">
        <v>113</v>
      </c>
      <c r="I5">
        <v>0</v>
      </c>
      <c r="J5" s="9">
        <v>2</v>
      </c>
      <c r="K5" s="5">
        <v>127864553</v>
      </c>
      <c r="L5" s="5">
        <v>127864572</v>
      </c>
    </row>
    <row r="6" spans="1:12" x14ac:dyDescent="0.3">
      <c r="A6" t="s">
        <v>71</v>
      </c>
      <c r="B6" t="s">
        <v>54</v>
      </c>
      <c r="C6" t="s">
        <v>54</v>
      </c>
      <c r="D6" t="s">
        <v>65</v>
      </c>
      <c r="E6">
        <v>127864791</v>
      </c>
      <c r="F6" t="s">
        <v>73</v>
      </c>
      <c r="G6" t="s">
        <v>74</v>
      </c>
      <c r="H6" t="s">
        <v>61</v>
      </c>
      <c r="I6">
        <v>1</v>
      </c>
      <c r="J6" s="8">
        <v>2</v>
      </c>
      <c r="K6" s="4">
        <v>127864774</v>
      </c>
      <c r="L6" s="4">
        <v>127864793</v>
      </c>
    </row>
    <row r="7" spans="1:12" x14ac:dyDescent="0.3">
      <c r="A7" t="s">
        <v>71</v>
      </c>
      <c r="B7" t="s">
        <v>54</v>
      </c>
      <c r="C7" t="s">
        <v>57</v>
      </c>
      <c r="D7" t="s">
        <v>58</v>
      </c>
      <c r="E7">
        <v>127864718</v>
      </c>
      <c r="F7" t="s">
        <v>76</v>
      </c>
      <c r="G7" t="s">
        <v>77</v>
      </c>
      <c r="H7" t="s">
        <v>61</v>
      </c>
      <c r="I7">
        <v>2</v>
      </c>
      <c r="J7" s="8">
        <v>2</v>
      </c>
      <c r="K7" s="4">
        <v>127864715</v>
      </c>
      <c r="L7" s="4">
        <v>127864734</v>
      </c>
    </row>
    <row r="8" spans="1:12" x14ac:dyDescent="0.3">
      <c r="A8" t="s">
        <v>79</v>
      </c>
      <c r="B8" t="s">
        <v>54</v>
      </c>
      <c r="C8" t="s">
        <v>54</v>
      </c>
      <c r="D8" t="s">
        <v>65</v>
      </c>
      <c r="F8" t="s">
        <v>114</v>
      </c>
      <c r="I8">
        <v>0</v>
      </c>
      <c r="J8" s="8">
        <v>8</v>
      </c>
      <c r="K8" s="4">
        <v>27472408</v>
      </c>
      <c r="L8" s="4">
        <f>K8+19</f>
        <v>27472427</v>
      </c>
    </row>
    <row r="9" spans="1:12" x14ac:dyDescent="0.3">
      <c r="A9" t="s">
        <v>79</v>
      </c>
      <c r="B9" t="s">
        <v>54</v>
      </c>
      <c r="C9" t="s">
        <v>57</v>
      </c>
      <c r="D9" t="s">
        <v>58</v>
      </c>
      <c r="E9">
        <v>27472329</v>
      </c>
      <c r="F9" t="s">
        <v>81</v>
      </c>
      <c r="G9" t="s">
        <v>82</v>
      </c>
      <c r="H9" t="s">
        <v>61</v>
      </c>
      <c r="I9">
        <v>1</v>
      </c>
      <c r="J9" s="8">
        <v>8</v>
      </c>
      <c r="K9" s="4">
        <v>27472326</v>
      </c>
      <c r="L9" s="4">
        <v>27472345</v>
      </c>
    </row>
    <row r="10" spans="1:12" x14ac:dyDescent="0.3">
      <c r="A10" t="s">
        <v>79</v>
      </c>
      <c r="B10" t="s">
        <v>54</v>
      </c>
      <c r="C10" t="s">
        <v>57</v>
      </c>
      <c r="D10" t="s">
        <v>58</v>
      </c>
      <c r="E10">
        <v>27472418</v>
      </c>
      <c r="F10" t="s">
        <v>84</v>
      </c>
      <c r="G10" t="s">
        <v>85</v>
      </c>
      <c r="H10" t="s">
        <v>68</v>
      </c>
      <c r="I10">
        <v>4</v>
      </c>
      <c r="J10" s="8">
        <v>8</v>
      </c>
      <c r="K10" s="4">
        <v>27472415</v>
      </c>
      <c r="L10" s="4">
        <v>27472434</v>
      </c>
    </row>
    <row r="11" spans="1:12" x14ac:dyDescent="0.3">
      <c r="A11" t="s">
        <v>86</v>
      </c>
      <c r="B11" t="s">
        <v>54</v>
      </c>
      <c r="C11" t="s">
        <v>54</v>
      </c>
      <c r="D11" t="s">
        <v>65</v>
      </c>
      <c r="E11">
        <v>53417895</v>
      </c>
      <c r="F11" t="s">
        <v>88</v>
      </c>
      <c r="G11" t="s">
        <v>89</v>
      </c>
      <c r="H11" t="s">
        <v>61</v>
      </c>
      <c r="I11">
        <v>1</v>
      </c>
      <c r="J11" s="8">
        <v>14</v>
      </c>
      <c r="K11" s="4">
        <v>53417878</v>
      </c>
      <c r="L11" s="4">
        <v>53417897</v>
      </c>
    </row>
    <row r="12" spans="1:12" x14ac:dyDescent="0.3">
      <c r="A12" t="s">
        <v>86</v>
      </c>
      <c r="B12" t="s">
        <v>54</v>
      </c>
      <c r="C12" t="s">
        <v>54</v>
      </c>
      <c r="D12" t="s">
        <v>65</v>
      </c>
      <c r="E12">
        <v>53417870</v>
      </c>
      <c r="F12" t="s">
        <v>91</v>
      </c>
      <c r="G12" t="s">
        <v>92</v>
      </c>
      <c r="H12" t="s">
        <v>61</v>
      </c>
      <c r="I12">
        <v>3</v>
      </c>
      <c r="J12" s="8">
        <v>14</v>
      </c>
      <c r="K12" s="4">
        <v>53417853</v>
      </c>
      <c r="L12" s="4">
        <v>53417872</v>
      </c>
    </row>
    <row r="13" spans="1:12" x14ac:dyDescent="0.3">
      <c r="A13" t="s">
        <v>86</v>
      </c>
      <c r="B13" t="s">
        <v>54</v>
      </c>
      <c r="C13" t="s">
        <v>54</v>
      </c>
      <c r="D13" t="s">
        <v>65</v>
      </c>
      <c r="E13">
        <v>53417831</v>
      </c>
      <c r="F13" t="s">
        <v>93</v>
      </c>
      <c r="G13" t="s">
        <v>94</v>
      </c>
      <c r="H13" t="s">
        <v>61</v>
      </c>
      <c r="I13">
        <v>5</v>
      </c>
      <c r="J13" s="8">
        <v>14</v>
      </c>
      <c r="K13" s="4">
        <v>53417814</v>
      </c>
      <c r="L13" s="4">
        <v>53417833</v>
      </c>
    </row>
    <row r="14" spans="1:12" x14ac:dyDescent="0.3">
      <c r="A14" t="s">
        <v>95</v>
      </c>
      <c r="B14" t="s">
        <v>57</v>
      </c>
      <c r="C14" t="s">
        <v>54</v>
      </c>
      <c r="D14" t="s">
        <v>58</v>
      </c>
      <c r="F14" s="2" t="s">
        <v>115</v>
      </c>
      <c r="I14">
        <v>0</v>
      </c>
      <c r="J14" s="9">
        <v>15</v>
      </c>
      <c r="K14" s="5">
        <v>64387973</v>
      </c>
      <c r="L14" s="5">
        <v>64387992</v>
      </c>
    </row>
    <row r="15" spans="1:12" x14ac:dyDescent="0.3">
      <c r="A15" t="s">
        <v>95</v>
      </c>
      <c r="B15" t="s">
        <v>57</v>
      </c>
      <c r="C15" t="s">
        <v>54</v>
      </c>
      <c r="D15" t="s">
        <v>58</v>
      </c>
      <c r="E15">
        <v>64388098</v>
      </c>
      <c r="F15" t="s">
        <v>97</v>
      </c>
      <c r="G15" t="s">
        <v>98</v>
      </c>
      <c r="H15" t="s">
        <v>61</v>
      </c>
      <c r="I15">
        <v>1</v>
      </c>
      <c r="J15" s="8">
        <v>15</v>
      </c>
      <c r="K15" s="4">
        <v>64388095</v>
      </c>
      <c r="L15" s="4">
        <v>64388114</v>
      </c>
    </row>
    <row r="16" spans="1:12" x14ac:dyDescent="0.3">
      <c r="A16" t="s">
        <v>95</v>
      </c>
      <c r="B16" t="s">
        <v>57</v>
      </c>
      <c r="C16" t="s">
        <v>54</v>
      </c>
      <c r="D16" t="s">
        <v>58</v>
      </c>
      <c r="E16">
        <v>64388118</v>
      </c>
      <c r="F16" t="s">
        <v>100</v>
      </c>
      <c r="G16" t="s">
        <v>101</v>
      </c>
      <c r="H16" t="s">
        <v>61</v>
      </c>
      <c r="I16">
        <v>2</v>
      </c>
      <c r="J16" s="8">
        <v>15</v>
      </c>
      <c r="K16" s="4">
        <v>64388115</v>
      </c>
      <c r="L16" s="4">
        <v>64388134</v>
      </c>
    </row>
    <row r="17" spans="1:12" x14ac:dyDescent="0.3">
      <c r="A17" t="s">
        <v>102</v>
      </c>
      <c r="B17" t="s">
        <v>57</v>
      </c>
      <c r="C17" t="s">
        <v>57</v>
      </c>
      <c r="D17" t="s">
        <v>65</v>
      </c>
      <c r="F17" s="2" t="s">
        <v>116</v>
      </c>
      <c r="I17">
        <v>0</v>
      </c>
      <c r="J17" s="9">
        <v>10</v>
      </c>
      <c r="K17" s="5">
        <v>82214192</v>
      </c>
      <c r="L17" s="5">
        <v>82214211</v>
      </c>
    </row>
    <row r="18" spans="1:12" x14ac:dyDescent="0.3">
      <c r="A18" t="s">
        <v>102</v>
      </c>
      <c r="B18" t="s">
        <v>57</v>
      </c>
      <c r="C18" t="s">
        <v>54</v>
      </c>
      <c r="D18" t="s">
        <v>58</v>
      </c>
      <c r="E18">
        <v>82214067</v>
      </c>
      <c r="F18" t="s">
        <v>104</v>
      </c>
      <c r="G18" t="s">
        <v>105</v>
      </c>
      <c r="H18" t="s">
        <v>106</v>
      </c>
      <c r="I18">
        <v>1</v>
      </c>
      <c r="J18" s="8">
        <v>10</v>
      </c>
      <c r="K18" s="4">
        <v>82214064</v>
      </c>
      <c r="L18" s="4">
        <v>82214083</v>
      </c>
    </row>
    <row r="19" spans="1:12" x14ac:dyDescent="0.3">
      <c r="A19" t="s">
        <v>102</v>
      </c>
      <c r="B19" t="s">
        <v>57</v>
      </c>
      <c r="C19" t="s">
        <v>54</v>
      </c>
      <c r="D19" t="s">
        <v>58</v>
      </c>
      <c r="E19">
        <v>82213962</v>
      </c>
      <c r="F19" t="s">
        <v>109</v>
      </c>
      <c r="G19" t="s">
        <v>110</v>
      </c>
      <c r="H19" t="s">
        <v>111</v>
      </c>
      <c r="I19">
        <v>2</v>
      </c>
      <c r="J19" s="8">
        <v>10</v>
      </c>
      <c r="K19" s="4">
        <v>82213959</v>
      </c>
      <c r="L19" s="4">
        <v>82213978</v>
      </c>
    </row>
    <row r="20" spans="1:12" x14ac:dyDescent="0.3">
      <c r="A20" t="s">
        <v>136</v>
      </c>
      <c r="B20" t="s">
        <v>57</v>
      </c>
      <c r="C20" t="s">
        <v>54</v>
      </c>
      <c r="D20" t="s">
        <v>58</v>
      </c>
      <c r="F20" s="2" t="s">
        <v>137</v>
      </c>
      <c r="I20">
        <v>0</v>
      </c>
      <c r="J20" s="7">
        <v>17</v>
      </c>
      <c r="K20" s="3">
        <v>1733223</v>
      </c>
      <c r="L20" s="3">
        <v>1733242</v>
      </c>
    </row>
    <row r="21" spans="1:12" x14ac:dyDescent="0.3">
      <c r="A21" t="s">
        <v>136</v>
      </c>
      <c r="B21" t="s">
        <v>57</v>
      </c>
      <c r="C21" t="s">
        <v>54</v>
      </c>
      <c r="D21" t="s">
        <v>58</v>
      </c>
      <c r="E21">
        <v>1733172</v>
      </c>
      <c r="F21" t="s">
        <v>119</v>
      </c>
      <c r="G21" t="s">
        <v>120</v>
      </c>
      <c r="H21" t="s">
        <v>61</v>
      </c>
      <c r="I21">
        <v>1</v>
      </c>
      <c r="J21">
        <v>17</v>
      </c>
      <c r="K21">
        <v>1733169</v>
      </c>
      <c r="L21">
        <v>1733188</v>
      </c>
    </row>
    <row r="22" spans="1:12" x14ac:dyDescent="0.3">
      <c r="A22" t="s">
        <v>136</v>
      </c>
      <c r="B22" t="s">
        <v>57</v>
      </c>
      <c r="C22" t="s">
        <v>54</v>
      </c>
      <c r="D22" t="s">
        <v>58</v>
      </c>
      <c r="E22">
        <v>1733195</v>
      </c>
      <c r="F22" t="s">
        <v>122</v>
      </c>
      <c r="G22" t="s">
        <v>123</v>
      </c>
      <c r="H22" t="s">
        <v>68</v>
      </c>
      <c r="I22">
        <v>4</v>
      </c>
      <c r="J22">
        <v>17</v>
      </c>
      <c r="K22">
        <v>1733192</v>
      </c>
      <c r="L22">
        <v>1733211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B57DF-0307-48C6-807E-9F9ACFF05840}">
  <dimension ref="A1:AX22"/>
  <sheetViews>
    <sheetView workbookViewId="0">
      <selection activeCell="D30" sqref="D30"/>
    </sheetView>
    <sheetView workbookViewId="1"/>
  </sheetViews>
  <sheetFormatPr defaultRowHeight="14.4" x14ac:dyDescent="0.3"/>
  <sheetData>
    <row r="1" spans="1:50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1:50" x14ac:dyDescent="0.3">
      <c r="A2" t="s">
        <v>50</v>
      </c>
      <c r="B2">
        <v>30</v>
      </c>
      <c r="C2">
        <v>9606</v>
      </c>
      <c r="D2">
        <v>53</v>
      </c>
      <c r="E2" t="s">
        <v>50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>
        <v>47270356</v>
      </c>
      <c r="L2" t="s">
        <v>55</v>
      </c>
      <c r="M2">
        <v>1</v>
      </c>
      <c r="N2">
        <v>1</v>
      </c>
      <c r="O2" t="s">
        <v>56</v>
      </c>
      <c r="P2" t="s">
        <v>57</v>
      </c>
      <c r="Q2" t="s">
        <v>58</v>
      </c>
      <c r="R2">
        <v>47270495</v>
      </c>
      <c r="S2" t="s">
        <v>59</v>
      </c>
      <c r="T2" t="s">
        <v>60</v>
      </c>
      <c r="U2" t="s">
        <v>61</v>
      </c>
      <c r="V2">
        <v>-138</v>
      </c>
      <c r="X2">
        <v>0</v>
      </c>
      <c r="Y2">
        <v>0</v>
      </c>
      <c r="Z2">
        <v>0</v>
      </c>
      <c r="AA2">
        <v>0</v>
      </c>
      <c r="AB2">
        <v>0</v>
      </c>
      <c r="AC2">
        <v>34</v>
      </c>
      <c r="AD2">
        <v>3</v>
      </c>
      <c r="AE2">
        <v>0</v>
      </c>
      <c r="AF2">
        <v>31</v>
      </c>
      <c r="AG2">
        <v>5</v>
      </c>
      <c r="AH2">
        <v>2</v>
      </c>
      <c r="AI2">
        <v>83</v>
      </c>
      <c r="AJ2" t="s">
        <v>62</v>
      </c>
      <c r="AK2">
        <v>0.52739999999999998</v>
      </c>
      <c r="AL2">
        <v>0</v>
      </c>
      <c r="AM2">
        <v>8</v>
      </c>
      <c r="AN2">
        <v>10</v>
      </c>
      <c r="AO2">
        <v>1</v>
      </c>
      <c r="AP2">
        <v>1</v>
      </c>
      <c r="AQ2">
        <v>2</v>
      </c>
      <c r="AR2">
        <v>1</v>
      </c>
      <c r="AS2">
        <v>2</v>
      </c>
      <c r="AT2" t="s">
        <v>63</v>
      </c>
      <c r="AU2" t="s">
        <v>64</v>
      </c>
      <c r="AV2">
        <v>47270492</v>
      </c>
      <c r="AW2">
        <v>47270511</v>
      </c>
      <c r="AX2">
        <v>212</v>
      </c>
    </row>
    <row r="3" spans="1:50" x14ac:dyDescent="0.3">
      <c r="A3" t="s">
        <v>50</v>
      </c>
      <c r="B3">
        <v>30</v>
      </c>
      <c r="C3">
        <v>9606</v>
      </c>
      <c r="D3">
        <v>53</v>
      </c>
      <c r="E3" t="s">
        <v>50</v>
      </c>
      <c r="F3" t="s">
        <v>50</v>
      </c>
      <c r="G3" t="s">
        <v>51</v>
      </c>
      <c r="H3" t="s">
        <v>52</v>
      </c>
      <c r="I3" t="s">
        <v>53</v>
      </c>
      <c r="J3" t="s">
        <v>54</v>
      </c>
      <c r="K3">
        <v>47270356</v>
      </c>
      <c r="L3" t="s">
        <v>55</v>
      </c>
      <c r="M3">
        <v>1</v>
      </c>
      <c r="N3">
        <v>1</v>
      </c>
      <c r="O3" t="s">
        <v>56</v>
      </c>
      <c r="P3" t="s">
        <v>54</v>
      </c>
      <c r="Q3" t="s">
        <v>65</v>
      </c>
      <c r="R3">
        <v>47270453</v>
      </c>
      <c r="S3" t="s">
        <v>66</v>
      </c>
      <c r="T3" t="s">
        <v>67</v>
      </c>
      <c r="U3" t="s">
        <v>68</v>
      </c>
      <c r="V3">
        <v>-96</v>
      </c>
      <c r="X3">
        <v>0</v>
      </c>
      <c r="Y3">
        <v>0</v>
      </c>
      <c r="Z3">
        <v>0</v>
      </c>
      <c r="AA3">
        <v>0</v>
      </c>
      <c r="AB3">
        <v>0</v>
      </c>
      <c r="AC3">
        <v>162</v>
      </c>
      <c r="AD3">
        <v>1</v>
      </c>
      <c r="AE3">
        <v>1</v>
      </c>
      <c r="AF3">
        <v>170</v>
      </c>
      <c r="AG3">
        <v>0</v>
      </c>
      <c r="AH3">
        <v>0</v>
      </c>
      <c r="AI3">
        <v>125</v>
      </c>
      <c r="AJ3" t="s">
        <v>62</v>
      </c>
      <c r="AK3">
        <v>0.43669999999999998</v>
      </c>
      <c r="AL3">
        <v>0</v>
      </c>
      <c r="AM3">
        <v>10</v>
      </c>
      <c r="AN3">
        <v>21</v>
      </c>
      <c r="AO3">
        <v>1</v>
      </c>
      <c r="AP3">
        <v>1</v>
      </c>
      <c r="AQ3">
        <v>9</v>
      </c>
      <c r="AR3">
        <v>2</v>
      </c>
      <c r="AS3">
        <v>2</v>
      </c>
      <c r="AT3" t="s">
        <v>63</v>
      </c>
      <c r="AU3" t="s">
        <v>64</v>
      </c>
      <c r="AV3">
        <v>47270436</v>
      </c>
      <c r="AW3">
        <v>47270455</v>
      </c>
      <c r="AX3">
        <v>218</v>
      </c>
    </row>
    <row r="4" spans="1:50" x14ac:dyDescent="0.3">
      <c r="A4" t="s">
        <v>50</v>
      </c>
      <c r="B4">
        <v>30</v>
      </c>
      <c r="C4">
        <v>9606</v>
      </c>
      <c r="D4">
        <v>53</v>
      </c>
      <c r="E4" t="s">
        <v>50</v>
      </c>
      <c r="F4" t="s">
        <v>50</v>
      </c>
      <c r="G4" t="s">
        <v>51</v>
      </c>
      <c r="H4" t="s">
        <v>52</v>
      </c>
      <c r="I4" t="s">
        <v>53</v>
      </c>
      <c r="J4" t="s">
        <v>54</v>
      </c>
      <c r="K4">
        <v>47270356</v>
      </c>
      <c r="L4" t="s">
        <v>55</v>
      </c>
      <c r="M4">
        <v>1</v>
      </c>
      <c r="N4">
        <v>1</v>
      </c>
      <c r="O4" t="s">
        <v>56</v>
      </c>
      <c r="P4" t="s">
        <v>57</v>
      </c>
      <c r="Q4" t="s">
        <v>58</v>
      </c>
      <c r="R4">
        <v>47270467</v>
      </c>
      <c r="S4" t="s">
        <v>69</v>
      </c>
      <c r="T4" t="s">
        <v>70</v>
      </c>
      <c r="U4" t="s">
        <v>61</v>
      </c>
      <c r="V4">
        <v>-110</v>
      </c>
      <c r="X4">
        <v>0</v>
      </c>
      <c r="Y4">
        <v>0</v>
      </c>
      <c r="Z4">
        <v>0</v>
      </c>
      <c r="AA4">
        <v>1</v>
      </c>
      <c r="AB4">
        <v>1</v>
      </c>
      <c r="AC4">
        <v>149</v>
      </c>
      <c r="AD4">
        <v>0</v>
      </c>
      <c r="AE4">
        <v>0</v>
      </c>
      <c r="AF4">
        <v>132</v>
      </c>
      <c r="AG4">
        <v>2</v>
      </c>
      <c r="AH4">
        <v>0</v>
      </c>
      <c r="AI4">
        <v>183</v>
      </c>
      <c r="AJ4" t="s">
        <v>62</v>
      </c>
      <c r="AK4">
        <v>0.26679999999999998</v>
      </c>
      <c r="AL4">
        <v>0</v>
      </c>
      <c r="AM4">
        <v>18</v>
      </c>
      <c r="AN4">
        <v>38</v>
      </c>
      <c r="AO4">
        <v>1</v>
      </c>
      <c r="AP4">
        <v>1</v>
      </c>
      <c r="AQ4">
        <v>29</v>
      </c>
      <c r="AR4">
        <v>5</v>
      </c>
      <c r="AS4">
        <v>2</v>
      </c>
      <c r="AT4" t="s">
        <v>63</v>
      </c>
      <c r="AU4" t="s">
        <v>64</v>
      </c>
      <c r="AV4">
        <v>47270464</v>
      </c>
      <c r="AW4">
        <v>47270483</v>
      </c>
      <c r="AX4">
        <v>231</v>
      </c>
    </row>
    <row r="6" spans="1:50" x14ac:dyDescent="0.3">
      <c r="A6" t="s">
        <v>71</v>
      </c>
      <c r="B6">
        <v>30</v>
      </c>
      <c r="C6">
        <v>9606</v>
      </c>
      <c r="D6">
        <v>274</v>
      </c>
      <c r="E6" t="s">
        <v>71</v>
      </c>
      <c r="F6" t="s">
        <v>71</v>
      </c>
      <c r="G6" t="s">
        <v>51</v>
      </c>
      <c r="H6" t="s">
        <v>52</v>
      </c>
      <c r="I6" t="s">
        <v>72</v>
      </c>
      <c r="J6" t="s">
        <v>54</v>
      </c>
      <c r="K6">
        <v>127864658</v>
      </c>
      <c r="L6" t="s">
        <v>55</v>
      </c>
      <c r="M6">
        <v>1</v>
      </c>
      <c r="N6">
        <v>1</v>
      </c>
      <c r="O6" t="s">
        <v>56</v>
      </c>
      <c r="P6" t="s">
        <v>54</v>
      </c>
      <c r="Q6" t="s">
        <v>65</v>
      </c>
      <c r="R6">
        <v>127864791</v>
      </c>
      <c r="S6" t="s">
        <v>73</v>
      </c>
      <c r="T6" t="s">
        <v>74</v>
      </c>
      <c r="U6" t="s">
        <v>61</v>
      </c>
      <c r="V6">
        <v>-132</v>
      </c>
      <c r="X6">
        <v>0</v>
      </c>
      <c r="Y6">
        <v>0</v>
      </c>
      <c r="Z6">
        <v>0</v>
      </c>
      <c r="AA6">
        <v>0</v>
      </c>
      <c r="AB6">
        <v>0</v>
      </c>
      <c r="AC6">
        <v>64</v>
      </c>
      <c r="AD6">
        <v>0</v>
      </c>
      <c r="AE6">
        <v>0</v>
      </c>
      <c r="AF6">
        <v>62</v>
      </c>
      <c r="AG6">
        <v>1</v>
      </c>
      <c r="AH6">
        <v>0</v>
      </c>
      <c r="AI6">
        <v>61</v>
      </c>
      <c r="AJ6" t="s">
        <v>62</v>
      </c>
      <c r="AK6">
        <v>0.45469999999999999</v>
      </c>
      <c r="AL6">
        <v>0</v>
      </c>
      <c r="AM6">
        <v>7</v>
      </c>
      <c r="AN6">
        <v>11</v>
      </c>
      <c r="AO6">
        <v>1</v>
      </c>
      <c r="AP6">
        <v>1</v>
      </c>
      <c r="AQ6">
        <v>4</v>
      </c>
      <c r="AR6">
        <v>1</v>
      </c>
      <c r="AS6">
        <v>2</v>
      </c>
      <c r="AT6" t="s">
        <v>63</v>
      </c>
      <c r="AU6" t="s">
        <v>75</v>
      </c>
      <c r="AV6">
        <v>127864774</v>
      </c>
      <c r="AW6">
        <v>127864793</v>
      </c>
      <c r="AX6">
        <v>34</v>
      </c>
    </row>
    <row r="7" spans="1:50" x14ac:dyDescent="0.3">
      <c r="A7" t="s">
        <v>71</v>
      </c>
      <c r="B7">
        <v>30</v>
      </c>
      <c r="C7">
        <v>9606</v>
      </c>
      <c r="D7">
        <v>274</v>
      </c>
      <c r="E7" t="s">
        <v>71</v>
      </c>
      <c r="F7" t="s">
        <v>71</v>
      </c>
      <c r="G7" t="s">
        <v>51</v>
      </c>
      <c r="H7" t="s">
        <v>52</v>
      </c>
      <c r="I7" t="s">
        <v>72</v>
      </c>
      <c r="J7" t="s">
        <v>54</v>
      </c>
      <c r="K7">
        <v>127864658</v>
      </c>
      <c r="L7" t="s">
        <v>55</v>
      </c>
      <c r="M7">
        <v>1</v>
      </c>
      <c r="N7">
        <v>1</v>
      </c>
      <c r="O7" t="s">
        <v>56</v>
      </c>
      <c r="P7" t="s">
        <v>57</v>
      </c>
      <c r="Q7" t="s">
        <v>58</v>
      </c>
      <c r="R7">
        <v>127864718</v>
      </c>
      <c r="S7" t="s">
        <v>76</v>
      </c>
      <c r="T7" t="s">
        <v>77</v>
      </c>
      <c r="U7" t="s">
        <v>61</v>
      </c>
      <c r="V7">
        <v>-59</v>
      </c>
      <c r="X7">
        <v>0</v>
      </c>
      <c r="Y7">
        <v>0</v>
      </c>
      <c r="Z7">
        <v>0</v>
      </c>
      <c r="AA7">
        <v>0</v>
      </c>
      <c r="AB7">
        <v>0</v>
      </c>
      <c r="AC7">
        <v>6</v>
      </c>
      <c r="AD7">
        <v>3</v>
      </c>
      <c r="AE7">
        <v>0</v>
      </c>
      <c r="AF7">
        <v>26</v>
      </c>
      <c r="AG7">
        <v>5</v>
      </c>
      <c r="AH7">
        <v>1</v>
      </c>
      <c r="AI7">
        <v>54</v>
      </c>
      <c r="AJ7" t="s">
        <v>62</v>
      </c>
      <c r="AK7">
        <v>0.32290000000000002</v>
      </c>
      <c r="AL7">
        <v>0</v>
      </c>
      <c r="AM7">
        <v>11</v>
      </c>
      <c r="AN7">
        <v>1</v>
      </c>
      <c r="AO7">
        <v>1</v>
      </c>
      <c r="AP7">
        <v>1</v>
      </c>
      <c r="AQ7">
        <v>1</v>
      </c>
      <c r="AR7">
        <v>2</v>
      </c>
      <c r="AS7">
        <v>3</v>
      </c>
      <c r="AT7" t="s">
        <v>78</v>
      </c>
      <c r="AU7" t="s">
        <v>75</v>
      </c>
      <c r="AV7">
        <v>127864715</v>
      </c>
      <c r="AW7">
        <v>127864734</v>
      </c>
      <c r="AX7">
        <v>31</v>
      </c>
    </row>
    <row r="9" spans="1:50" x14ac:dyDescent="0.3">
      <c r="A9" t="s">
        <v>79</v>
      </c>
      <c r="B9">
        <v>30</v>
      </c>
      <c r="C9">
        <v>9606</v>
      </c>
      <c r="D9">
        <v>1191</v>
      </c>
      <c r="E9" t="s">
        <v>79</v>
      </c>
      <c r="F9" t="s">
        <v>79</v>
      </c>
      <c r="G9" t="s">
        <v>51</v>
      </c>
      <c r="H9" t="s">
        <v>52</v>
      </c>
      <c r="I9" t="s">
        <v>80</v>
      </c>
      <c r="J9" t="s">
        <v>54</v>
      </c>
      <c r="K9">
        <v>27472217</v>
      </c>
      <c r="L9" t="s">
        <v>55</v>
      </c>
      <c r="M9">
        <v>1</v>
      </c>
      <c r="N9">
        <v>1</v>
      </c>
      <c r="O9" t="s">
        <v>56</v>
      </c>
      <c r="P9" t="s">
        <v>57</v>
      </c>
      <c r="Q9" t="s">
        <v>58</v>
      </c>
      <c r="R9">
        <v>27472329</v>
      </c>
      <c r="S9" t="s">
        <v>81</v>
      </c>
      <c r="T9" t="s">
        <v>82</v>
      </c>
      <c r="U9" t="s">
        <v>61</v>
      </c>
      <c r="V9">
        <v>-111</v>
      </c>
      <c r="X9">
        <v>0</v>
      </c>
      <c r="Y9">
        <v>0</v>
      </c>
      <c r="Z9">
        <v>0</v>
      </c>
      <c r="AA9">
        <v>0</v>
      </c>
      <c r="AB9">
        <v>0</v>
      </c>
      <c r="AC9">
        <v>46</v>
      </c>
      <c r="AD9">
        <v>3</v>
      </c>
      <c r="AE9">
        <v>1</v>
      </c>
      <c r="AF9">
        <v>63</v>
      </c>
      <c r="AG9">
        <v>2</v>
      </c>
      <c r="AH9">
        <v>1</v>
      </c>
      <c r="AI9">
        <v>49</v>
      </c>
      <c r="AJ9" t="s">
        <v>62</v>
      </c>
      <c r="AK9">
        <v>0.6069</v>
      </c>
      <c r="AL9">
        <v>0</v>
      </c>
      <c r="AM9">
        <v>3</v>
      </c>
      <c r="AN9">
        <v>8</v>
      </c>
      <c r="AO9">
        <v>1</v>
      </c>
      <c r="AP9">
        <v>1</v>
      </c>
      <c r="AQ9">
        <v>1</v>
      </c>
      <c r="AR9">
        <v>1</v>
      </c>
      <c r="AS9">
        <v>2</v>
      </c>
      <c r="AT9" t="s">
        <v>63</v>
      </c>
      <c r="AU9" t="s">
        <v>83</v>
      </c>
      <c r="AV9">
        <v>27472326</v>
      </c>
      <c r="AW9">
        <v>27472345</v>
      </c>
      <c r="AX9">
        <v>121</v>
      </c>
    </row>
    <row r="10" spans="1:50" x14ac:dyDescent="0.3">
      <c r="A10" t="s">
        <v>79</v>
      </c>
      <c r="B10">
        <v>30</v>
      </c>
      <c r="C10">
        <v>9606</v>
      </c>
      <c r="D10">
        <v>1191</v>
      </c>
      <c r="E10" t="s">
        <v>79</v>
      </c>
      <c r="F10" t="s">
        <v>79</v>
      </c>
      <c r="G10" t="s">
        <v>51</v>
      </c>
      <c r="H10" t="s">
        <v>52</v>
      </c>
      <c r="I10" t="s">
        <v>80</v>
      </c>
      <c r="J10" t="s">
        <v>54</v>
      </c>
      <c r="K10">
        <v>27472217</v>
      </c>
      <c r="L10" t="s">
        <v>55</v>
      </c>
      <c r="M10">
        <v>1</v>
      </c>
      <c r="N10">
        <v>1</v>
      </c>
      <c r="O10" t="s">
        <v>56</v>
      </c>
      <c r="P10" t="s">
        <v>57</v>
      </c>
      <c r="Q10" t="s">
        <v>58</v>
      </c>
      <c r="R10">
        <v>27472418</v>
      </c>
      <c r="S10" t="s">
        <v>84</v>
      </c>
      <c r="T10" t="s">
        <v>85</v>
      </c>
      <c r="U10" t="s">
        <v>68</v>
      </c>
      <c r="V10">
        <v>-200</v>
      </c>
      <c r="X10">
        <v>0</v>
      </c>
      <c r="Y10">
        <v>0</v>
      </c>
      <c r="Z10">
        <v>0</v>
      </c>
      <c r="AA10">
        <v>0</v>
      </c>
      <c r="AB10">
        <v>0</v>
      </c>
      <c r="AC10">
        <v>69</v>
      </c>
      <c r="AD10">
        <v>0</v>
      </c>
      <c r="AE10">
        <v>0</v>
      </c>
      <c r="AF10">
        <v>95</v>
      </c>
      <c r="AG10">
        <v>0</v>
      </c>
      <c r="AH10">
        <v>0</v>
      </c>
      <c r="AI10">
        <v>64</v>
      </c>
      <c r="AJ10" t="s">
        <v>62</v>
      </c>
      <c r="AK10">
        <v>0.60229999999999995</v>
      </c>
      <c r="AL10">
        <v>0</v>
      </c>
      <c r="AM10">
        <v>4</v>
      </c>
      <c r="AN10">
        <v>12</v>
      </c>
      <c r="AO10">
        <v>1</v>
      </c>
      <c r="AP10">
        <v>1</v>
      </c>
      <c r="AQ10">
        <v>3</v>
      </c>
      <c r="AR10">
        <v>4</v>
      </c>
      <c r="AS10">
        <v>3</v>
      </c>
      <c r="AT10" t="s">
        <v>78</v>
      </c>
      <c r="AU10" t="s">
        <v>83</v>
      </c>
      <c r="AV10">
        <v>27472415</v>
      </c>
      <c r="AW10">
        <v>27472434</v>
      </c>
      <c r="AX10">
        <v>122</v>
      </c>
    </row>
    <row r="11" spans="1:50" x14ac:dyDescent="0.3">
      <c r="A11" t="s">
        <v>86</v>
      </c>
      <c r="B11">
        <v>30</v>
      </c>
      <c r="C11">
        <v>9606</v>
      </c>
      <c r="D11">
        <v>10979</v>
      </c>
      <c r="E11" t="s">
        <v>86</v>
      </c>
      <c r="F11" t="s">
        <v>86</v>
      </c>
      <c r="G11" t="s">
        <v>51</v>
      </c>
      <c r="H11" t="s">
        <v>52</v>
      </c>
      <c r="I11" t="s">
        <v>87</v>
      </c>
      <c r="J11" t="s">
        <v>54</v>
      </c>
      <c r="K11">
        <v>53417768</v>
      </c>
      <c r="L11" t="s">
        <v>55</v>
      </c>
      <c r="M11">
        <v>1</v>
      </c>
      <c r="N11">
        <v>1</v>
      </c>
      <c r="O11" t="s">
        <v>56</v>
      </c>
      <c r="P11" t="s">
        <v>54</v>
      </c>
      <c r="Q11" t="s">
        <v>65</v>
      </c>
      <c r="R11">
        <v>53417895</v>
      </c>
      <c r="S11" t="s">
        <v>88</v>
      </c>
      <c r="T11" t="s">
        <v>89</v>
      </c>
      <c r="U11" t="s">
        <v>61</v>
      </c>
      <c r="V11">
        <v>-126</v>
      </c>
      <c r="X11">
        <v>0</v>
      </c>
      <c r="Y11">
        <v>0</v>
      </c>
      <c r="Z11">
        <v>0</v>
      </c>
      <c r="AA11">
        <v>2</v>
      </c>
      <c r="AB11">
        <v>0</v>
      </c>
      <c r="AC11">
        <v>23</v>
      </c>
      <c r="AD11">
        <v>6</v>
      </c>
      <c r="AE11">
        <v>1</v>
      </c>
      <c r="AF11">
        <v>36</v>
      </c>
      <c r="AG11">
        <v>14</v>
      </c>
      <c r="AH11">
        <v>2</v>
      </c>
      <c r="AI11">
        <v>73</v>
      </c>
      <c r="AJ11" t="s">
        <v>62</v>
      </c>
      <c r="AK11">
        <v>0.58740000000000003</v>
      </c>
      <c r="AL11">
        <v>0</v>
      </c>
      <c r="AM11">
        <v>2</v>
      </c>
      <c r="AN11">
        <v>14</v>
      </c>
      <c r="AO11">
        <v>1</v>
      </c>
      <c r="AP11">
        <v>1</v>
      </c>
      <c r="AQ11">
        <v>2</v>
      </c>
      <c r="AR11">
        <v>1</v>
      </c>
      <c r="AS11">
        <v>2</v>
      </c>
      <c r="AT11" t="s">
        <v>63</v>
      </c>
      <c r="AU11" t="s">
        <v>90</v>
      </c>
      <c r="AV11">
        <v>53417878</v>
      </c>
      <c r="AW11">
        <v>53417897</v>
      </c>
      <c r="AX11">
        <v>2</v>
      </c>
    </row>
    <row r="12" spans="1:50" x14ac:dyDescent="0.3">
      <c r="A12" t="s">
        <v>86</v>
      </c>
      <c r="B12">
        <v>30</v>
      </c>
      <c r="C12">
        <v>9606</v>
      </c>
      <c r="D12">
        <v>10979</v>
      </c>
      <c r="E12" t="s">
        <v>86</v>
      </c>
      <c r="F12" t="s">
        <v>86</v>
      </c>
      <c r="G12" t="s">
        <v>51</v>
      </c>
      <c r="H12" t="s">
        <v>52</v>
      </c>
      <c r="I12" t="s">
        <v>87</v>
      </c>
      <c r="J12" t="s">
        <v>54</v>
      </c>
      <c r="K12">
        <v>53417768</v>
      </c>
      <c r="L12" t="s">
        <v>55</v>
      </c>
      <c r="M12">
        <v>1</v>
      </c>
      <c r="N12">
        <v>1</v>
      </c>
      <c r="O12" t="s">
        <v>56</v>
      </c>
      <c r="P12" t="s">
        <v>54</v>
      </c>
      <c r="Q12" t="s">
        <v>65</v>
      </c>
      <c r="R12">
        <v>53417870</v>
      </c>
      <c r="S12" t="s">
        <v>91</v>
      </c>
      <c r="T12" t="s">
        <v>92</v>
      </c>
      <c r="U12" t="s">
        <v>61</v>
      </c>
      <c r="V12">
        <v>-101</v>
      </c>
      <c r="X12">
        <v>0</v>
      </c>
      <c r="Y12">
        <v>0</v>
      </c>
      <c r="Z12">
        <v>0</v>
      </c>
      <c r="AA12">
        <v>3</v>
      </c>
      <c r="AB12">
        <v>1</v>
      </c>
      <c r="AC12">
        <v>79</v>
      </c>
      <c r="AD12">
        <v>10</v>
      </c>
      <c r="AE12">
        <v>3</v>
      </c>
      <c r="AF12">
        <v>244</v>
      </c>
      <c r="AG12">
        <v>19</v>
      </c>
      <c r="AH12">
        <v>3</v>
      </c>
      <c r="AI12">
        <v>199</v>
      </c>
      <c r="AJ12" t="s">
        <v>62</v>
      </c>
      <c r="AK12">
        <v>0.27860000000000001</v>
      </c>
      <c r="AL12">
        <v>0</v>
      </c>
      <c r="AM12">
        <v>6</v>
      </c>
      <c r="AN12">
        <v>22</v>
      </c>
      <c r="AO12">
        <v>1</v>
      </c>
      <c r="AP12">
        <v>1</v>
      </c>
      <c r="AQ12">
        <v>9</v>
      </c>
      <c r="AR12">
        <v>3</v>
      </c>
      <c r="AS12">
        <v>2</v>
      </c>
      <c r="AT12" t="s">
        <v>63</v>
      </c>
      <c r="AU12" t="s">
        <v>90</v>
      </c>
      <c r="AV12">
        <v>53417853</v>
      </c>
      <c r="AW12">
        <v>53417872</v>
      </c>
      <c r="AX12">
        <v>5</v>
      </c>
    </row>
    <row r="13" spans="1:50" x14ac:dyDescent="0.3">
      <c r="A13" t="s">
        <v>86</v>
      </c>
      <c r="B13">
        <v>30</v>
      </c>
      <c r="C13">
        <v>9606</v>
      </c>
      <c r="D13">
        <v>10979</v>
      </c>
      <c r="E13" t="s">
        <v>86</v>
      </c>
      <c r="F13" t="s">
        <v>86</v>
      </c>
      <c r="G13" t="s">
        <v>51</v>
      </c>
      <c r="H13" t="s">
        <v>52</v>
      </c>
      <c r="I13" t="s">
        <v>87</v>
      </c>
      <c r="J13" t="s">
        <v>54</v>
      </c>
      <c r="K13">
        <v>53417768</v>
      </c>
      <c r="L13" t="s">
        <v>55</v>
      </c>
      <c r="M13">
        <v>1</v>
      </c>
      <c r="N13">
        <v>1</v>
      </c>
      <c r="O13" t="s">
        <v>56</v>
      </c>
      <c r="P13" t="s">
        <v>54</v>
      </c>
      <c r="Q13" t="s">
        <v>65</v>
      </c>
      <c r="R13">
        <v>53417831</v>
      </c>
      <c r="S13" t="s">
        <v>93</v>
      </c>
      <c r="T13" t="s">
        <v>94</v>
      </c>
      <c r="U13" t="s">
        <v>61</v>
      </c>
      <c r="V13">
        <v>-62</v>
      </c>
      <c r="X13">
        <v>0</v>
      </c>
      <c r="Y13">
        <v>0</v>
      </c>
      <c r="Z13">
        <v>0</v>
      </c>
      <c r="AA13">
        <v>0</v>
      </c>
      <c r="AB13">
        <v>0</v>
      </c>
      <c r="AC13">
        <v>140</v>
      </c>
      <c r="AD13">
        <v>6</v>
      </c>
      <c r="AE13">
        <v>3</v>
      </c>
      <c r="AF13">
        <v>273</v>
      </c>
      <c r="AG13">
        <v>3</v>
      </c>
      <c r="AH13">
        <v>0</v>
      </c>
      <c r="AI13">
        <v>187</v>
      </c>
      <c r="AJ13" t="s">
        <v>62</v>
      </c>
      <c r="AK13">
        <v>0.48420000000000002</v>
      </c>
      <c r="AL13">
        <v>0</v>
      </c>
      <c r="AM13">
        <v>3</v>
      </c>
      <c r="AN13">
        <v>3</v>
      </c>
      <c r="AO13">
        <v>1</v>
      </c>
      <c r="AP13">
        <v>1</v>
      </c>
      <c r="AQ13">
        <v>1</v>
      </c>
      <c r="AR13">
        <v>5</v>
      </c>
      <c r="AS13">
        <v>3</v>
      </c>
      <c r="AT13" t="s">
        <v>78</v>
      </c>
      <c r="AU13" t="s">
        <v>90</v>
      </c>
      <c r="AV13">
        <v>53417814</v>
      </c>
      <c r="AW13">
        <v>53417833</v>
      </c>
      <c r="AX13">
        <v>1</v>
      </c>
    </row>
    <row r="15" spans="1:50" x14ac:dyDescent="0.3">
      <c r="A15" t="s">
        <v>95</v>
      </c>
      <c r="B15">
        <v>30</v>
      </c>
      <c r="C15">
        <v>9606</v>
      </c>
      <c r="D15">
        <v>6642</v>
      </c>
      <c r="E15" t="s">
        <v>95</v>
      </c>
      <c r="F15" t="s">
        <v>95</v>
      </c>
      <c r="G15" t="s">
        <v>51</v>
      </c>
      <c r="H15" t="s">
        <v>52</v>
      </c>
      <c r="I15" t="s">
        <v>96</v>
      </c>
      <c r="J15" t="s">
        <v>57</v>
      </c>
      <c r="K15">
        <v>64388202</v>
      </c>
      <c r="L15" t="s">
        <v>55</v>
      </c>
      <c r="M15">
        <v>1</v>
      </c>
      <c r="N15">
        <v>1</v>
      </c>
      <c r="O15" t="s">
        <v>56</v>
      </c>
      <c r="P15" t="s">
        <v>54</v>
      </c>
      <c r="Q15" t="s">
        <v>58</v>
      </c>
      <c r="R15">
        <v>64388098</v>
      </c>
      <c r="S15" t="s">
        <v>97</v>
      </c>
      <c r="T15" t="s">
        <v>98</v>
      </c>
      <c r="U15" t="s">
        <v>61</v>
      </c>
      <c r="V15">
        <v>-104</v>
      </c>
      <c r="X15">
        <v>0</v>
      </c>
      <c r="Y15">
        <v>0</v>
      </c>
      <c r="Z15">
        <v>0</v>
      </c>
      <c r="AA15">
        <v>0</v>
      </c>
      <c r="AB15">
        <v>0</v>
      </c>
      <c r="AC15">
        <v>31</v>
      </c>
      <c r="AD15">
        <v>1</v>
      </c>
      <c r="AE15">
        <v>0</v>
      </c>
      <c r="AF15">
        <v>70</v>
      </c>
      <c r="AG15">
        <v>1</v>
      </c>
      <c r="AH15">
        <v>1</v>
      </c>
      <c r="AI15">
        <v>34</v>
      </c>
      <c r="AJ15" t="s">
        <v>62</v>
      </c>
      <c r="AK15">
        <v>0.21809999999999999</v>
      </c>
      <c r="AL15">
        <v>0</v>
      </c>
      <c r="AM15">
        <v>18</v>
      </c>
      <c r="AN15">
        <v>2</v>
      </c>
      <c r="AO15">
        <v>1</v>
      </c>
      <c r="AP15">
        <v>1</v>
      </c>
      <c r="AQ15">
        <v>4</v>
      </c>
      <c r="AR15">
        <v>1</v>
      </c>
      <c r="AS15">
        <v>2</v>
      </c>
      <c r="AT15" t="s">
        <v>63</v>
      </c>
      <c r="AU15" t="s">
        <v>99</v>
      </c>
      <c r="AV15">
        <v>64388095</v>
      </c>
      <c r="AW15">
        <v>64388114</v>
      </c>
      <c r="AX15">
        <v>64</v>
      </c>
    </row>
    <row r="16" spans="1:50" x14ac:dyDescent="0.3">
      <c r="A16" t="s">
        <v>95</v>
      </c>
      <c r="B16">
        <v>30</v>
      </c>
      <c r="C16">
        <v>9606</v>
      </c>
      <c r="D16">
        <v>6642</v>
      </c>
      <c r="E16" t="s">
        <v>95</v>
      </c>
      <c r="F16" t="s">
        <v>95</v>
      </c>
      <c r="G16" t="s">
        <v>51</v>
      </c>
      <c r="H16" t="s">
        <v>52</v>
      </c>
      <c r="I16" t="s">
        <v>96</v>
      </c>
      <c r="J16" t="s">
        <v>57</v>
      </c>
      <c r="K16">
        <v>64388202</v>
      </c>
      <c r="L16" t="s">
        <v>55</v>
      </c>
      <c r="M16">
        <v>1</v>
      </c>
      <c r="N16">
        <v>1</v>
      </c>
      <c r="O16" t="s">
        <v>56</v>
      </c>
      <c r="P16" t="s">
        <v>54</v>
      </c>
      <c r="Q16" t="s">
        <v>58</v>
      </c>
      <c r="R16">
        <v>64388118</v>
      </c>
      <c r="S16" t="s">
        <v>100</v>
      </c>
      <c r="T16" t="s">
        <v>101</v>
      </c>
      <c r="U16" t="s">
        <v>61</v>
      </c>
      <c r="V16">
        <v>-84</v>
      </c>
      <c r="X16">
        <v>0</v>
      </c>
      <c r="Y16">
        <v>0</v>
      </c>
      <c r="Z16">
        <v>0</v>
      </c>
      <c r="AA16">
        <v>2</v>
      </c>
      <c r="AB16">
        <v>0</v>
      </c>
      <c r="AC16">
        <v>124</v>
      </c>
      <c r="AD16">
        <v>4</v>
      </c>
      <c r="AE16">
        <v>3</v>
      </c>
      <c r="AF16">
        <v>193</v>
      </c>
      <c r="AG16">
        <v>6</v>
      </c>
      <c r="AH16">
        <v>3</v>
      </c>
      <c r="AI16">
        <v>414</v>
      </c>
      <c r="AJ16" t="s">
        <v>62</v>
      </c>
      <c r="AK16">
        <v>0.31929999999999997</v>
      </c>
      <c r="AL16">
        <v>0</v>
      </c>
      <c r="AM16">
        <v>8</v>
      </c>
      <c r="AN16">
        <v>36</v>
      </c>
      <c r="AO16">
        <v>1</v>
      </c>
      <c r="AP16">
        <v>1</v>
      </c>
      <c r="AQ16">
        <v>18</v>
      </c>
      <c r="AR16">
        <v>2</v>
      </c>
      <c r="AS16">
        <v>2</v>
      </c>
      <c r="AT16" t="s">
        <v>63</v>
      </c>
      <c r="AU16" t="s">
        <v>99</v>
      </c>
      <c r="AV16">
        <v>64388115</v>
      </c>
      <c r="AW16">
        <v>64388134</v>
      </c>
      <c r="AX16">
        <v>73</v>
      </c>
    </row>
    <row r="18" spans="1:50" x14ac:dyDescent="0.3">
      <c r="A18" t="s">
        <v>102</v>
      </c>
      <c r="B18">
        <v>30</v>
      </c>
      <c r="C18">
        <v>9606</v>
      </c>
      <c r="D18">
        <v>81619</v>
      </c>
      <c r="E18" t="s">
        <v>102</v>
      </c>
      <c r="F18" t="s">
        <v>102</v>
      </c>
      <c r="G18" t="s">
        <v>51</v>
      </c>
      <c r="H18" t="s">
        <v>52</v>
      </c>
      <c r="I18" t="s">
        <v>103</v>
      </c>
      <c r="J18" t="s">
        <v>57</v>
      </c>
      <c r="K18">
        <v>82214067</v>
      </c>
      <c r="L18" t="s">
        <v>55</v>
      </c>
      <c r="M18">
        <v>1</v>
      </c>
      <c r="N18">
        <v>1</v>
      </c>
      <c r="O18" t="s">
        <v>56</v>
      </c>
      <c r="P18" t="s">
        <v>54</v>
      </c>
      <c r="Q18" t="s">
        <v>58</v>
      </c>
      <c r="R18">
        <v>82214067</v>
      </c>
      <c r="S18" t="s">
        <v>104</v>
      </c>
      <c r="T18" t="s">
        <v>105</v>
      </c>
      <c r="U18" t="s">
        <v>106</v>
      </c>
      <c r="V18">
        <v>0</v>
      </c>
      <c r="X18">
        <v>0</v>
      </c>
      <c r="Y18">
        <v>0</v>
      </c>
      <c r="Z18">
        <v>0</v>
      </c>
      <c r="AA18">
        <v>1</v>
      </c>
      <c r="AB18">
        <v>1</v>
      </c>
      <c r="AC18">
        <v>79</v>
      </c>
      <c r="AD18">
        <v>1</v>
      </c>
      <c r="AE18">
        <v>0</v>
      </c>
      <c r="AF18">
        <v>74</v>
      </c>
      <c r="AG18">
        <v>1</v>
      </c>
      <c r="AH18">
        <v>1</v>
      </c>
      <c r="AI18">
        <v>54</v>
      </c>
      <c r="AJ18" t="s">
        <v>62</v>
      </c>
      <c r="AK18">
        <v>0.44090000000000001</v>
      </c>
      <c r="AL18">
        <v>0</v>
      </c>
      <c r="AM18">
        <v>2</v>
      </c>
      <c r="AN18">
        <v>8</v>
      </c>
      <c r="AO18">
        <v>1</v>
      </c>
      <c r="AP18">
        <v>1</v>
      </c>
      <c r="AQ18">
        <v>1</v>
      </c>
      <c r="AR18">
        <v>1</v>
      </c>
      <c r="AS18">
        <v>4</v>
      </c>
      <c r="AT18" t="s">
        <v>107</v>
      </c>
      <c r="AU18" t="s">
        <v>108</v>
      </c>
      <c r="AV18">
        <v>82214064</v>
      </c>
      <c r="AW18">
        <v>82214083</v>
      </c>
      <c r="AX18">
        <v>91</v>
      </c>
    </row>
    <row r="19" spans="1:50" x14ac:dyDescent="0.3">
      <c r="A19" t="s">
        <v>102</v>
      </c>
      <c r="B19">
        <v>30</v>
      </c>
      <c r="C19">
        <v>9606</v>
      </c>
      <c r="D19">
        <v>81619</v>
      </c>
      <c r="E19" t="s">
        <v>102</v>
      </c>
      <c r="F19" t="s">
        <v>102</v>
      </c>
      <c r="G19" t="s">
        <v>51</v>
      </c>
      <c r="H19" t="s">
        <v>52</v>
      </c>
      <c r="I19" t="s">
        <v>103</v>
      </c>
      <c r="J19" t="s">
        <v>57</v>
      </c>
      <c r="K19">
        <v>82214067</v>
      </c>
      <c r="L19" t="s">
        <v>55</v>
      </c>
      <c r="M19">
        <v>1</v>
      </c>
      <c r="N19">
        <v>1</v>
      </c>
      <c r="O19" t="s">
        <v>56</v>
      </c>
      <c r="P19" t="s">
        <v>54</v>
      </c>
      <c r="Q19" t="s">
        <v>58</v>
      </c>
      <c r="R19">
        <v>82213962</v>
      </c>
      <c r="S19" t="s">
        <v>109</v>
      </c>
      <c r="T19" t="s">
        <v>110</v>
      </c>
      <c r="U19" t="s">
        <v>111</v>
      </c>
      <c r="V19">
        <v>-105</v>
      </c>
      <c r="X19">
        <v>0</v>
      </c>
      <c r="Y19">
        <v>0</v>
      </c>
      <c r="Z19">
        <v>0</v>
      </c>
      <c r="AA19">
        <v>1</v>
      </c>
      <c r="AB19">
        <v>0</v>
      </c>
      <c r="AC19">
        <v>78</v>
      </c>
      <c r="AD19">
        <v>7</v>
      </c>
      <c r="AE19">
        <v>3</v>
      </c>
      <c r="AF19">
        <v>97</v>
      </c>
      <c r="AG19">
        <v>9</v>
      </c>
      <c r="AH19">
        <v>3</v>
      </c>
      <c r="AI19">
        <v>107</v>
      </c>
      <c r="AJ19" t="s">
        <v>62</v>
      </c>
      <c r="AK19">
        <v>-0.19570000000000001</v>
      </c>
      <c r="AL19">
        <v>0</v>
      </c>
      <c r="AM19">
        <v>21</v>
      </c>
      <c r="AN19">
        <v>5</v>
      </c>
      <c r="AO19">
        <v>1</v>
      </c>
      <c r="AP19">
        <v>1</v>
      </c>
      <c r="AQ19">
        <v>7</v>
      </c>
      <c r="AR19">
        <v>2</v>
      </c>
      <c r="AS19">
        <v>9</v>
      </c>
      <c r="AT19" t="s">
        <v>112</v>
      </c>
      <c r="AU19" t="s">
        <v>108</v>
      </c>
      <c r="AV19">
        <v>82213959</v>
      </c>
      <c r="AW19">
        <v>82213978</v>
      </c>
      <c r="AX19">
        <v>94</v>
      </c>
    </row>
    <row r="21" spans="1:50" x14ac:dyDescent="0.3">
      <c r="A21" t="s">
        <v>117</v>
      </c>
      <c r="B21">
        <v>30</v>
      </c>
      <c r="C21">
        <v>9606</v>
      </c>
      <c r="D21">
        <v>6117</v>
      </c>
      <c r="E21" t="s">
        <v>117</v>
      </c>
      <c r="F21" t="s">
        <v>117</v>
      </c>
      <c r="G21" t="s">
        <v>51</v>
      </c>
      <c r="H21" t="s">
        <v>52</v>
      </c>
      <c r="I21" t="s">
        <v>118</v>
      </c>
      <c r="J21" t="s">
        <v>57</v>
      </c>
      <c r="K21">
        <v>1733300</v>
      </c>
      <c r="L21" t="s">
        <v>55</v>
      </c>
      <c r="M21">
        <v>1</v>
      </c>
      <c r="N21">
        <v>1</v>
      </c>
      <c r="O21" t="s">
        <v>56</v>
      </c>
      <c r="P21" t="s">
        <v>54</v>
      </c>
      <c r="Q21" t="s">
        <v>58</v>
      </c>
      <c r="R21">
        <v>1733172</v>
      </c>
      <c r="S21" t="s">
        <v>119</v>
      </c>
      <c r="T21" t="s">
        <v>120</v>
      </c>
      <c r="U21" t="s">
        <v>61</v>
      </c>
      <c r="V21">
        <v>10</v>
      </c>
      <c r="W21">
        <v>1</v>
      </c>
      <c r="X21">
        <v>2</v>
      </c>
      <c r="Y21" t="s">
        <v>63</v>
      </c>
      <c r="Z21" t="s">
        <v>121</v>
      </c>
      <c r="AA21">
        <v>1733169</v>
      </c>
      <c r="AB21">
        <v>1733188</v>
      </c>
      <c r="AC21">
        <v>153</v>
      </c>
      <c r="AD21" t="s">
        <v>134</v>
      </c>
      <c r="AE21">
        <v>1733163</v>
      </c>
    </row>
    <row r="22" spans="1:50" x14ac:dyDescent="0.3">
      <c r="A22" t="s">
        <v>117</v>
      </c>
      <c r="B22">
        <v>30</v>
      </c>
      <c r="C22">
        <v>9606</v>
      </c>
      <c r="D22">
        <v>6117</v>
      </c>
      <c r="E22" t="s">
        <v>117</v>
      </c>
      <c r="F22" t="s">
        <v>117</v>
      </c>
      <c r="G22" t="s">
        <v>51</v>
      </c>
      <c r="H22" t="s">
        <v>52</v>
      </c>
      <c r="I22" t="s">
        <v>118</v>
      </c>
      <c r="J22" t="s">
        <v>57</v>
      </c>
      <c r="K22">
        <v>1733300</v>
      </c>
      <c r="L22" t="s">
        <v>55</v>
      </c>
      <c r="M22">
        <v>1</v>
      </c>
      <c r="N22">
        <v>1</v>
      </c>
      <c r="O22" t="s">
        <v>56</v>
      </c>
      <c r="P22" t="s">
        <v>54</v>
      </c>
      <c r="Q22" t="s">
        <v>58</v>
      </c>
      <c r="R22">
        <v>1733195</v>
      </c>
      <c r="S22" t="s">
        <v>122</v>
      </c>
      <c r="T22" t="s">
        <v>123</v>
      </c>
      <c r="U22" t="s">
        <v>68</v>
      </c>
      <c r="V22">
        <v>36</v>
      </c>
      <c r="W22">
        <v>4</v>
      </c>
      <c r="X22">
        <v>2</v>
      </c>
      <c r="Y22" t="s">
        <v>63</v>
      </c>
      <c r="Z22" t="s">
        <v>121</v>
      </c>
      <c r="AA22">
        <v>1733192</v>
      </c>
      <c r="AB22">
        <v>1733211</v>
      </c>
      <c r="AC22">
        <v>166</v>
      </c>
      <c r="AD22" t="s">
        <v>135</v>
      </c>
      <c r="AE22">
        <v>1733192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782DC-D8B2-4A18-A53B-3C6C76CDFFBB}">
  <dimension ref="A1:AE7"/>
  <sheetViews>
    <sheetView topLeftCell="O1" workbookViewId="0">
      <selection activeCell="AE4" sqref="AE4"/>
    </sheetView>
    <sheetView topLeftCell="P1" workbookViewId="1">
      <selection activeCell="AE2" sqref="AE2"/>
    </sheetView>
  </sheetViews>
  <sheetFormatPr defaultRowHeight="14.4" x14ac:dyDescent="0.3"/>
  <cols>
    <col min="19" max="19" width="25.33203125" bestFit="1" customWidth="1"/>
  </cols>
  <sheetData>
    <row r="1" spans="1:3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E1" s="1" t="s">
        <v>138</v>
      </c>
    </row>
    <row r="2" spans="1:31" x14ac:dyDescent="0.3">
      <c r="A2" t="s">
        <v>117</v>
      </c>
      <c r="B2">
        <v>30</v>
      </c>
      <c r="C2">
        <v>9606</v>
      </c>
      <c r="D2">
        <v>6117</v>
      </c>
      <c r="E2" t="s">
        <v>117</v>
      </c>
      <c r="F2" t="s">
        <v>117</v>
      </c>
      <c r="G2" t="s">
        <v>51</v>
      </c>
      <c r="H2" t="s">
        <v>52</v>
      </c>
      <c r="I2" t="s">
        <v>118</v>
      </c>
      <c r="J2" t="s">
        <v>57</v>
      </c>
      <c r="K2">
        <v>1733300</v>
      </c>
      <c r="L2" t="s">
        <v>55</v>
      </c>
      <c r="M2">
        <v>1</v>
      </c>
      <c r="N2">
        <v>1</v>
      </c>
      <c r="O2" t="s">
        <v>56</v>
      </c>
      <c r="P2" t="s">
        <v>54</v>
      </c>
      <c r="Q2" t="s">
        <v>58</v>
      </c>
      <c r="R2">
        <v>1733172</v>
      </c>
      <c r="S2" t="s">
        <v>119</v>
      </c>
      <c r="T2" t="s">
        <v>120</v>
      </c>
      <c r="U2" t="s">
        <v>61</v>
      </c>
      <c r="V2">
        <v>10</v>
      </c>
      <c r="W2">
        <v>1</v>
      </c>
      <c r="X2">
        <v>2</v>
      </c>
      <c r="Y2" t="s">
        <v>63</v>
      </c>
      <c r="Z2" t="s">
        <v>121</v>
      </c>
      <c r="AA2">
        <v>1733169</v>
      </c>
      <c r="AB2">
        <v>1733188</v>
      </c>
      <c r="AC2">
        <v>153</v>
      </c>
      <c r="AD2" t="s">
        <v>134</v>
      </c>
      <c r="AE2">
        <v>1733163</v>
      </c>
    </row>
    <row r="3" spans="1:31" x14ac:dyDescent="0.3">
      <c r="A3" t="s">
        <v>117</v>
      </c>
      <c r="B3">
        <v>30</v>
      </c>
      <c r="C3">
        <v>9606</v>
      </c>
      <c r="D3">
        <v>6117</v>
      </c>
      <c r="E3" t="s">
        <v>117</v>
      </c>
      <c r="F3" t="s">
        <v>117</v>
      </c>
      <c r="G3" t="s">
        <v>51</v>
      </c>
      <c r="H3" t="s">
        <v>52</v>
      </c>
      <c r="I3" t="s">
        <v>118</v>
      </c>
      <c r="J3" t="s">
        <v>57</v>
      </c>
      <c r="K3">
        <v>1733300</v>
      </c>
      <c r="L3" t="s">
        <v>55</v>
      </c>
      <c r="M3">
        <v>1</v>
      </c>
      <c r="N3">
        <v>1</v>
      </c>
      <c r="O3" t="s">
        <v>56</v>
      </c>
      <c r="P3" t="s">
        <v>54</v>
      </c>
      <c r="Q3" t="s">
        <v>58</v>
      </c>
      <c r="R3">
        <v>1733195</v>
      </c>
      <c r="S3" t="s">
        <v>122</v>
      </c>
      <c r="T3" t="s">
        <v>123</v>
      </c>
      <c r="U3" t="s">
        <v>68</v>
      </c>
      <c r="V3">
        <v>36</v>
      </c>
      <c r="W3">
        <v>4</v>
      </c>
      <c r="X3">
        <v>2</v>
      </c>
      <c r="Y3" t="s">
        <v>63</v>
      </c>
      <c r="Z3" t="s">
        <v>121</v>
      </c>
      <c r="AA3">
        <v>1733192</v>
      </c>
      <c r="AB3">
        <v>1733211</v>
      </c>
      <c r="AC3">
        <v>166</v>
      </c>
      <c r="AD3" t="s">
        <v>135</v>
      </c>
      <c r="AE3">
        <v>1733192</v>
      </c>
    </row>
    <row r="4" spans="1:31" x14ac:dyDescent="0.3">
      <c r="A4" t="s">
        <v>117</v>
      </c>
      <c r="B4">
        <v>30</v>
      </c>
      <c r="C4">
        <v>9606</v>
      </c>
      <c r="D4">
        <v>6117</v>
      </c>
      <c r="E4" t="s">
        <v>117</v>
      </c>
      <c r="F4" t="s">
        <v>117</v>
      </c>
      <c r="G4" t="s">
        <v>51</v>
      </c>
      <c r="H4" t="s">
        <v>52</v>
      </c>
      <c r="I4" t="s">
        <v>118</v>
      </c>
      <c r="J4" t="s">
        <v>57</v>
      </c>
      <c r="K4">
        <v>1733300</v>
      </c>
      <c r="L4" t="s">
        <v>55</v>
      </c>
      <c r="M4">
        <v>1</v>
      </c>
      <c r="N4">
        <v>1</v>
      </c>
      <c r="O4" t="s">
        <v>56</v>
      </c>
      <c r="P4" t="s">
        <v>54</v>
      </c>
      <c r="Q4" t="s">
        <v>58</v>
      </c>
      <c r="R4">
        <v>1733112</v>
      </c>
      <c r="S4" t="s">
        <v>124</v>
      </c>
      <c r="T4" t="s">
        <v>125</v>
      </c>
      <c r="U4" t="s">
        <v>61</v>
      </c>
      <c r="V4">
        <v>13</v>
      </c>
      <c r="W4">
        <v>5</v>
      </c>
      <c r="X4">
        <v>3</v>
      </c>
      <c r="Y4" t="s">
        <v>78</v>
      </c>
      <c r="Z4" t="s">
        <v>121</v>
      </c>
      <c r="AA4">
        <v>1733109</v>
      </c>
      <c r="AB4">
        <v>1733128</v>
      </c>
      <c r="AC4">
        <v>154</v>
      </c>
    </row>
    <row r="5" spans="1:31" x14ac:dyDescent="0.3">
      <c r="A5" t="s">
        <v>126</v>
      </c>
      <c r="B5">
        <v>30</v>
      </c>
      <c r="C5">
        <v>9606</v>
      </c>
      <c r="D5">
        <v>114826</v>
      </c>
      <c r="E5" t="s">
        <v>126</v>
      </c>
      <c r="F5" t="s">
        <v>126</v>
      </c>
      <c r="G5" t="s">
        <v>51</v>
      </c>
      <c r="H5" t="s">
        <v>52</v>
      </c>
      <c r="I5" t="s">
        <v>118</v>
      </c>
      <c r="J5" t="s">
        <v>54</v>
      </c>
      <c r="K5">
        <v>1733196</v>
      </c>
      <c r="L5" t="s">
        <v>55</v>
      </c>
      <c r="M5">
        <v>1</v>
      </c>
      <c r="N5">
        <v>1</v>
      </c>
      <c r="O5" t="s">
        <v>56</v>
      </c>
      <c r="P5" t="s">
        <v>57</v>
      </c>
      <c r="Q5" t="s">
        <v>58</v>
      </c>
      <c r="R5">
        <v>1733333</v>
      </c>
      <c r="S5" t="s">
        <v>127</v>
      </c>
      <c r="T5" t="s">
        <v>128</v>
      </c>
      <c r="U5" t="s">
        <v>61</v>
      </c>
      <c r="V5">
        <v>18</v>
      </c>
      <c r="W5">
        <v>1</v>
      </c>
      <c r="X5">
        <v>2</v>
      </c>
      <c r="Y5" t="s">
        <v>63</v>
      </c>
      <c r="Z5" t="s">
        <v>121</v>
      </c>
      <c r="AA5">
        <v>1733330</v>
      </c>
      <c r="AB5">
        <v>1733349</v>
      </c>
      <c r="AC5">
        <v>191</v>
      </c>
      <c r="AD5" t="s">
        <v>133</v>
      </c>
    </row>
    <row r="6" spans="1:31" x14ac:dyDescent="0.3">
      <c r="A6" t="s">
        <v>126</v>
      </c>
      <c r="B6">
        <v>30</v>
      </c>
      <c r="C6">
        <v>9606</v>
      </c>
      <c r="D6">
        <v>114826</v>
      </c>
      <c r="E6" t="s">
        <v>126</v>
      </c>
      <c r="F6" t="s">
        <v>126</v>
      </c>
      <c r="G6" t="s">
        <v>51</v>
      </c>
      <c r="H6" t="s">
        <v>52</v>
      </c>
      <c r="I6" t="s">
        <v>118</v>
      </c>
      <c r="J6" t="s">
        <v>54</v>
      </c>
      <c r="K6">
        <v>1733196</v>
      </c>
      <c r="L6" t="s">
        <v>55</v>
      </c>
      <c r="M6">
        <v>1</v>
      </c>
      <c r="N6">
        <v>1</v>
      </c>
      <c r="O6" t="s">
        <v>56</v>
      </c>
      <c r="P6" t="s">
        <v>54</v>
      </c>
      <c r="Q6" t="s">
        <v>65</v>
      </c>
      <c r="R6">
        <v>1733367</v>
      </c>
      <c r="S6" t="s">
        <v>129</v>
      </c>
      <c r="T6" t="s">
        <v>130</v>
      </c>
      <c r="U6" t="s">
        <v>106</v>
      </c>
      <c r="V6">
        <v>2</v>
      </c>
      <c r="W6">
        <v>4</v>
      </c>
      <c r="X6">
        <v>3</v>
      </c>
      <c r="Y6" t="s">
        <v>78</v>
      </c>
      <c r="Z6" t="s">
        <v>121</v>
      </c>
      <c r="AA6">
        <v>1733350</v>
      </c>
      <c r="AB6">
        <v>1733369</v>
      </c>
      <c r="AC6">
        <v>182</v>
      </c>
      <c r="AD6" t="s">
        <v>133</v>
      </c>
    </row>
    <row r="7" spans="1:31" x14ac:dyDescent="0.3">
      <c r="A7" t="s">
        <v>126</v>
      </c>
      <c r="B7">
        <v>30</v>
      </c>
      <c r="C7">
        <v>9606</v>
      </c>
      <c r="D7">
        <v>114826</v>
      </c>
      <c r="E7" t="s">
        <v>126</v>
      </c>
      <c r="F7" t="s">
        <v>126</v>
      </c>
      <c r="G7" t="s">
        <v>51</v>
      </c>
      <c r="H7" t="s">
        <v>52</v>
      </c>
      <c r="I7" t="s">
        <v>118</v>
      </c>
      <c r="J7" t="s">
        <v>54</v>
      </c>
      <c r="K7">
        <v>1733196</v>
      </c>
      <c r="L7" t="s">
        <v>55</v>
      </c>
      <c r="M7">
        <v>1</v>
      </c>
      <c r="N7">
        <v>1</v>
      </c>
      <c r="O7" t="s">
        <v>56</v>
      </c>
      <c r="P7" t="s">
        <v>57</v>
      </c>
      <c r="Q7" t="s">
        <v>58</v>
      </c>
      <c r="R7">
        <v>1733390</v>
      </c>
      <c r="S7" t="s">
        <v>131</v>
      </c>
      <c r="T7" t="s">
        <v>132</v>
      </c>
      <c r="U7" t="s">
        <v>106</v>
      </c>
      <c r="V7">
        <v>4</v>
      </c>
      <c r="W7">
        <v>5</v>
      </c>
      <c r="X7">
        <v>3</v>
      </c>
      <c r="Y7" t="s">
        <v>78</v>
      </c>
      <c r="Z7" t="s">
        <v>121</v>
      </c>
      <c r="AA7">
        <v>1733387</v>
      </c>
      <c r="AB7">
        <v>1733406</v>
      </c>
      <c r="AC7">
        <v>183</v>
      </c>
      <c r="AD7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</vt:lpstr>
      <vt:lpstr>Full CRISPick</vt:lpstr>
      <vt:lpstr>RPA1-SMYD4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sjpl</dc:creator>
  <cp:lastModifiedBy>Laub, Shannon</cp:lastModifiedBy>
  <dcterms:created xsi:type="dcterms:W3CDTF">2015-06-05T18:17:20Z</dcterms:created>
  <dcterms:modified xsi:type="dcterms:W3CDTF">2024-05-28T14:19:02Z</dcterms:modified>
</cp:coreProperties>
</file>